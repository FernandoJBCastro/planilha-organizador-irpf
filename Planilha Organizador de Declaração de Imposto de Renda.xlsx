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ursos DIO\EXCEL com Inteligência Artificial\02. Projeto Planilha Organizador de Declaração de Imposto de Renda\"/>
    </mc:Choice>
  </mc:AlternateContent>
  <xr:revisionPtr revIDLastSave="0" documentId="13_ncr:1_{5DE3BBB6-7756-4605-AD30-D0F8EFDCF1DE}" xr6:coauthVersionLast="47" xr6:coauthVersionMax="47" xr10:uidLastSave="{00000000-0000-0000-0000-000000000000}"/>
  <bookViews>
    <workbookView xWindow="-108" yWindow="-108" windowWidth="23256" windowHeight="12456" tabRatio="0" firstSheet="1" activeTab="1" xr2:uid="{00000000-000D-0000-FFFF-FFFF00000000}"/>
  </bookViews>
  <sheets>
    <sheet name="TITULAR" sheetId="1" r:id="rId1"/>
    <sheet name="INFORMES" sheetId="10" r:id="rId2"/>
    <sheet name="NOTAS" sheetId="9" r:id="rId3"/>
    <sheet name="DESPESAS" sheetId="7" r:id="rId4"/>
    <sheet name="TABELAS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/>
  <c r="D7" i="9"/>
  <c r="D7" i="7"/>
</calcChain>
</file>

<file path=xl/sharedStrings.xml><?xml version="1.0" encoding="utf-8"?>
<sst xmlns="http://schemas.openxmlformats.org/spreadsheetml/2006/main" count="106" uniqueCount="95">
  <si>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</si>
  <si>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</si>
  <si>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</si>
  <si>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</si>
  <si>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</si>
  <si>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</si>
  <si>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</si>
  <si>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</si>
  <si>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</si>
  <si>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</si>
  <si>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</si>
  <si>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</si>
  <si>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</si>
  <si>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</si>
  <si>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</si>
  <si>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</si>
  <si>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</si>
  <si>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Armando de Souza Silva</t>
  </si>
  <si>
    <t>armando.silva@gmail.com</t>
  </si>
  <si>
    <t>Rua dos Limoeiros, Nº 180</t>
  </si>
  <si>
    <t>Maria Cista Souza Silva</t>
  </si>
  <si>
    <t>preencha os dados atuais de cada banco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</si>
  <si>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</si>
  <si>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</si>
  <si>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</si>
  <si>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</si>
  <si>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</si>
  <si>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</si>
  <si>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</si>
  <si>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</si>
  <si>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</si>
  <si>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</si>
  <si>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</si>
  <si>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</si>
  <si>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</si>
  <si>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</si>
  <si>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</si>
  <si>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</si>
  <si>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</si>
  <si>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</si>
  <si>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</si>
  <si>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</si>
  <si>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</si>
  <si>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</si>
  <si>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</si>
  <si>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</si>
  <si>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</si>
  <si>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</si>
  <si>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</si>
  <si>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</si>
  <si>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</si>
  <si>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</si>
  <si>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</si>
  <si>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</si>
  <si>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</si>
  <si>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</si>
  <si>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</si>
  <si>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</si>
  <si>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</si>
  <si>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</si>
  <si>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</si>
  <si>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</si>
  <si>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</si>
  <si>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</si>
  <si>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</si>
  <si>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</si>
  <si>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</si>
  <si>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</si>
  <si>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</si>
  <si>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</si>
  <si>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</si>
  <si>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</si>
  <si>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</si>
  <si>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</si>
  <si>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</si>
  <si>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</si>
  <si>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2. INFORMES DE RENDIMENTOS BANCÁRIOS</t>
  </si>
  <si>
    <t>preencha todos os valores de entrada de receita, mês a mês</t>
  </si>
  <si>
    <t>3. NOTAS BANCÁRIAS OU EXTRATO DE HOLERITES</t>
  </si>
  <si>
    <t>ENTRADAS</t>
  </si>
  <si>
    <t>CATEGORIA</t>
  </si>
  <si>
    <t>HOLERITES</t>
  </si>
  <si>
    <t>BANCO_C6.PDF</t>
  </si>
  <si>
    <t>BANCO_CEF.PDF</t>
  </si>
  <si>
    <t>BANCO_XP.PDF</t>
  </si>
  <si>
    <t>BANCO_BB.PDF</t>
  </si>
  <si>
    <t>CNPJ</t>
  </si>
  <si>
    <t>VALOR</t>
  </si>
  <si>
    <t>REFERÊNCIA</t>
  </si>
  <si>
    <t>4. DESPESAS E GASTOS</t>
  </si>
  <si>
    <t>preencha todos os valores pagos com despesas e gastos, mês a mês</t>
  </si>
  <si>
    <t>SAÍDAS</t>
  </si>
  <si>
    <t>EDUCAÇÃO</t>
  </si>
  <si>
    <t>DESPESAS MÉDICAS</t>
  </si>
  <si>
    <t>ALUGUEL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</si>
</sst>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&quot;.&quot;000&quot;.&quot;000&quot;-&quot;00"/>
    <numFmt numFmtId="165" formatCode="00&quot;.&quot;000&quot;-&quot;000"/>
    <numFmt numFmtId="166" formatCode="&quot;(&quot;00&quot;) &quot;00000&quot;-&quot;0000"/>
    <numFmt numFmtId="167" formatCode="&quot;(&quot;00&quot;) &quot;0000&quot;-&quot;0000"/>
    <numFmt numFmtId="168" formatCode="&quot;R$&quot;\ #,##0.00"/>
    <numFmt numFmtId="169" formatCode="mmm/yy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3" fillId="5" borderId="0" xfId="0" applyFont="1" applyFill="1" applyAlignment="1">
      <alignment horizontal="center" vertical="center"/>
    </xf>
    <xf numFmtId="169" fontId="11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8" fontId="11" fillId="0" borderId="0" xfId="0" applyNumberFormat="1" applyFont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9" fillId="6" borderId="0" xfId="0" applyFont="1" applyFill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9" fillId="6" borderId="0" xfId="0" applyFont="1" applyFill="1" applyAlignment="1" applyProtection="1">
      <alignment vertical="center"/>
      <protection hidden="1"/>
    </xf>
    <xf numFmtId="0" fontId="4" fillId="4" borderId="2" xfId="0" applyFont="1" applyFill="1" applyBorder="1" applyAlignment="1" applyProtection="1">
      <alignment horizontal="right" vertical="center"/>
      <protection hidden="1"/>
    </xf>
    <xf numFmtId="14" fontId="11" fillId="0" borderId="0" xfId="0" applyNumberFormat="1" applyFont="1" applyAlignment="1" applyProtection="1">
      <alignment horizontal="center" vertical="center"/>
      <protection locked="0"/>
    </xf>
    <xf numFmtId="0" fontId="8" fillId="4" borderId="2" xfId="2" applyFont="1" applyFill="1" applyBorder="1" applyAlignment="1" applyProtection="1">
      <alignment horizontal="left" vertical="center"/>
      <protection locked="0"/>
    </xf>
    <xf numFmtId="14" fontId="8" fillId="4" borderId="2" xfId="2" applyNumberFormat="1" applyFont="1" applyFill="1" applyBorder="1" applyAlignment="1" applyProtection="1">
      <alignment horizontal="left" vertical="center"/>
      <protection locked="0"/>
    </xf>
    <xf numFmtId="164" fontId="8" fillId="4" borderId="2" xfId="2" applyNumberFormat="1" applyFont="1" applyFill="1" applyBorder="1" applyAlignment="1" applyProtection="1">
      <alignment horizontal="left" vertical="center"/>
      <protection locked="0"/>
    </xf>
    <xf numFmtId="167" fontId="8" fillId="4" borderId="2" xfId="2" applyNumberFormat="1" applyFont="1" applyFill="1" applyBorder="1" applyAlignment="1" applyProtection="1">
      <alignment horizontal="left" vertical="center"/>
      <protection locked="0"/>
    </xf>
    <xf numFmtId="166" fontId="8" fillId="4" borderId="2" xfId="2" applyNumberFormat="1" applyFont="1" applyFill="1" applyBorder="1" applyAlignment="1" applyProtection="1">
      <alignment horizontal="left" vertical="center"/>
      <protection locked="0"/>
    </xf>
    <xf numFmtId="0" fontId="12" fillId="4" borderId="2" xfId="3" applyFont="1" applyFill="1" applyBorder="1" applyAlignment="1" applyProtection="1">
      <alignment horizontal="left" vertical="center"/>
      <protection locked="0"/>
    </xf>
    <xf numFmtId="165" fontId="8" fillId="4" borderId="2" xfId="2" applyNumberFormat="1" applyFont="1" applyFill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left" vertical="center"/>
      <protection hidden="1"/>
    </xf>
    <xf numFmtId="0" fontId="6" fillId="4" borderId="4" xfId="0" applyFont="1" applyFill="1" applyBorder="1" applyAlignment="1" applyProtection="1">
      <alignment horizontal="left" vertical="center" indent="2"/>
      <protection hidden="1"/>
    </xf>
    <xf numFmtId="168" fontId="9" fillId="6" borderId="0" xfId="0" applyNumberFormat="1" applyFont="1" applyFill="1" applyAlignment="1" applyProtection="1">
      <alignment horizontal="center" vertical="center"/>
      <protection hidden="1"/>
    </xf>
    <xf numFmtId="0" fontId="11" fillId="0" borderId="0" xfId="0" applyFont="1" applyFill="1" applyAlignment="1" applyProtection="1">
      <alignment horizontal="center" vertical="center"/>
      <protection locked="0"/>
    </xf>
    <xf numFmtId="168" fontId="11" fillId="0" borderId="0" xfId="0" applyNumberFormat="1" applyFont="1" applyFill="1" applyAlignment="1" applyProtection="1">
      <alignment horizontal="center" vertical="center"/>
      <protection locked="0"/>
    </xf>
    <xf numFmtId="169" fontId="11" fillId="0" borderId="0" xfId="0" applyNumberFormat="1" applyFont="1" applyFill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8"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9" formatCode="m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9" formatCode="m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bgColor rgb="FFFFCCFF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rgb="FFFF00FF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rgb="FFCC00CC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Estilo Rosa" pivot="0" count="3" xr9:uid="{03C8780A-D0CF-49C3-A2B1-7DB57F316516}">
      <tableStyleElement type="headerRow" dxfId="17"/>
      <tableStyleElement type="firstRowStripe" dxfId="16"/>
      <tableStyleElement type="secondRowStripe" dxfId="15"/>
    </tableStyle>
  </tableStyles>
  <colors>
    <mruColors>
      <color rgb="FFFFCCFF"/>
      <color rgb="FFFF99FF"/>
      <color rgb="FFFFFFFF"/>
      <color rgb="FFCC00CC"/>
      <color rgb="FFCC0099"/>
      <color rgb="FFFF3399"/>
      <color rgb="FFD60093"/>
      <color rgb="FFFF00FF"/>
      <color rgb="FFCC006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DESPES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jose-barbosa-castr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DESPES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jose-barbosa-castro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DESPES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jose-barbosa-castro" TargetMode="External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DESPES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fernando-jose-barbosa-castro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537210</xdr:colOff>
      <xdr:row>2</xdr:row>
      <xdr:rowOff>182880</xdr:rowOff>
    </xdr:from>
    <xdr:to>
      <xdr:col>0</xdr:col>
      <xdr:colOff>1443990</xdr:colOff>
      <xdr:row>7</xdr:row>
      <xdr:rowOff>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6E14DC6-72A6-3CD8-9056-2DDDBA5EE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" y="54864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129540</xdr:rowOff>
    </xdr:from>
    <xdr:to>
      <xdr:col>1</xdr:col>
      <xdr:colOff>6420</xdr:colOff>
      <xdr:row>2</xdr:row>
      <xdr:rowOff>87780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E4FDC53-F961-7DD4-2C8B-4B7DEC08AFE4}"/>
            </a:ext>
          </a:extLst>
        </xdr:cNvPr>
        <xdr:cNvSpPr/>
      </xdr:nvSpPr>
      <xdr:spPr>
        <a:xfrm>
          <a:off x="0" y="129540"/>
          <a:ext cx="1980000" cy="32400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0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198120</xdr:colOff>
      <xdr:row>7</xdr:row>
      <xdr:rowOff>152400</xdr:rowOff>
    </xdr:from>
    <xdr:to>
      <xdr:col>0</xdr:col>
      <xdr:colOff>1783080</xdr:colOff>
      <xdr:row>9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CB2077-3711-5CC3-193A-1422122296AA}"/>
            </a:ext>
          </a:extLst>
        </xdr:cNvPr>
        <xdr:cNvSpPr/>
      </xdr:nvSpPr>
      <xdr:spPr>
        <a:xfrm>
          <a:off x="198120" y="1607820"/>
          <a:ext cx="1584960" cy="434340"/>
        </a:xfrm>
        <a:prstGeom prst="roundRect">
          <a:avLst>
            <a:gd name="adj" fmla="val 50000"/>
          </a:avLst>
        </a:prstGeom>
        <a:gradFill>
          <a:gsLst>
            <a:gs pos="37000">
              <a:srgbClr val="EE37BF">
                <a:alpha val="79000"/>
                <a:lumMod val="80000"/>
                <a:lumOff val="20000"/>
              </a:srgbClr>
            </a:gs>
            <a:gs pos="86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198120</xdr:colOff>
      <xdr:row>10</xdr:row>
      <xdr:rowOff>73660</xdr:rowOff>
    </xdr:from>
    <xdr:to>
      <xdr:col>0</xdr:col>
      <xdr:colOff>1783080</xdr:colOff>
      <xdr:row>12</xdr:row>
      <xdr:rowOff>81280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2CE58C-031D-4F58-8058-9F982244EFDC}"/>
            </a:ext>
          </a:extLst>
        </xdr:cNvPr>
        <xdr:cNvSpPr/>
      </xdr:nvSpPr>
      <xdr:spPr>
        <a:xfrm>
          <a:off x="198120" y="216916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198120</xdr:colOff>
      <xdr:row>12</xdr:row>
      <xdr:rowOff>208280</xdr:rowOff>
    </xdr:from>
    <xdr:to>
      <xdr:col>0</xdr:col>
      <xdr:colOff>1783080</xdr:colOff>
      <xdr:row>15</xdr:row>
      <xdr:rowOff>2540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23D6E1-FFC0-4E5A-B7AC-317C8E90C489}"/>
            </a:ext>
          </a:extLst>
        </xdr:cNvPr>
        <xdr:cNvSpPr/>
      </xdr:nvSpPr>
      <xdr:spPr>
        <a:xfrm>
          <a:off x="198120" y="273050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180600</xdr:colOff>
      <xdr:row>18</xdr:row>
      <xdr:rowOff>137160</xdr:rowOff>
    </xdr:from>
    <xdr:to>
      <xdr:col>0</xdr:col>
      <xdr:colOff>1800600</xdr:colOff>
      <xdr:row>18</xdr:row>
      <xdr:rowOff>137160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98A8766-2EF1-34F2-EE6C-3659A33FC12A}"/>
            </a:ext>
          </a:extLst>
        </xdr:cNvPr>
        <xdr:cNvCxnSpPr/>
      </xdr:nvCxnSpPr>
      <xdr:spPr>
        <a:xfrm>
          <a:off x="180600" y="3939540"/>
          <a:ext cx="1620000" cy="0"/>
        </a:xfrm>
        <a:prstGeom prst="line">
          <a:avLst/>
        </a:prstGeom>
        <a:ln w="254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18</xdr:row>
      <xdr:rowOff>99060</xdr:rowOff>
    </xdr:from>
    <xdr:to>
      <xdr:col>0</xdr:col>
      <xdr:colOff>1847850</xdr:colOff>
      <xdr:row>20</xdr:row>
      <xdr:rowOff>53340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4DF86E6-E89D-529A-9420-B68AEFDF5543}"/>
            </a:ext>
          </a:extLst>
        </xdr:cNvPr>
        <xdr:cNvSpPr/>
      </xdr:nvSpPr>
      <xdr:spPr>
        <a:xfrm>
          <a:off x="133350" y="3901440"/>
          <a:ext cx="17145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BYE FCASTRO</a:t>
          </a:r>
          <a:r>
            <a:rPr lang="pt-BR" sz="1100" b="1"/>
            <a:t> 😎</a:t>
          </a:r>
        </a:p>
      </xdr:txBody>
    </xdr:sp>
    <xdr:clientData/>
  </xdr:twoCellAnchor>
  <xdr:twoCellAnchor editAs="absolute">
    <xdr:from>
      <xdr:col>0</xdr:col>
      <xdr:colOff>750570</xdr:colOff>
      <xdr:row>20</xdr:row>
      <xdr:rowOff>160020</xdr:rowOff>
    </xdr:from>
    <xdr:to>
      <xdr:col>0</xdr:col>
      <xdr:colOff>1230630</xdr:colOff>
      <xdr:row>23</xdr:row>
      <xdr:rowOff>91440</xdr:rowOff>
    </xdr:to>
    <xdr:pic>
      <xdr:nvPicPr>
        <xdr:cNvPr id="11" name="Imagem 10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29D54E-3C22-4644-8A40-04A863B7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" y="4389120"/>
          <a:ext cx="48006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419100</xdr:colOff>
      <xdr:row>0</xdr:row>
      <xdr:rowOff>22860</xdr:rowOff>
    </xdr:from>
    <xdr:to>
      <xdr:col>4</xdr:col>
      <xdr:colOff>394335</xdr:colOff>
      <xdr:row>1</xdr:row>
      <xdr:rowOff>175260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E47AEB-584A-4FBE-9C1A-8D187480C063}"/>
            </a:ext>
          </a:extLst>
        </xdr:cNvPr>
        <xdr:cNvSpPr/>
      </xdr:nvSpPr>
      <xdr:spPr>
        <a:xfrm>
          <a:off x="6141720" y="22860"/>
          <a:ext cx="2771775" cy="33528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/>
            <a:t> ➡️</a:t>
          </a:r>
        </a:p>
      </xdr:txBody>
    </xdr:sp>
    <xdr:clientData/>
  </xdr:twoCellAnchor>
  <xdr:twoCellAnchor editAs="absolute">
    <xdr:from>
      <xdr:col>0</xdr:col>
      <xdr:colOff>198120</xdr:colOff>
      <xdr:row>15</xdr:row>
      <xdr:rowOff>129540</xdr:rowOff>
    </xdr:from>
    <xdr:to>
      <xdr:col>0</xdr:col>
      <xdr:colOff>1783080</xdr:colOff>
      <xdr:row>17</xdr:row>
      <xdr:rowOff>137160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A2EEA1-CCDD-49A3-B90C-DC2B0CEF8715}"/>
            </a:ext>
          </a:extLst>
        </xdr:cNvPr>
        <xdr:cNvSpPr/>
      </xdr:nvSpPr>
      <xdr:spPr>
        <a:xfrm>
          <a:off x="198120" y="329184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537210</xdr:colOff>
      <xdr:row>2</xdr:row>
      <xdr:rowOff>182880</xdr:rowOff>
    </xdr:from>
    <xdr:to>
      <xdr:col>0</xdr:col>
      <xdr:colOff>1443990</xdr:colOff>
      <xdr:row>7</xdr:row>
      <xdr:rowOff>30480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B0D553AF-FE69-4661-8EAB-921FFBFB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" y="54864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129540</xdr:rowOff>
    </xdr:from>
    <xdr:to>
      <xdr:col>1</xdr:col>
      <xdr:colOff>6420</xdr:colOff>
      <xdr:row>2</xdr:row>
      <xdr:rowOff>87780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325AD78-32F8-43B0-A7E1-31A13B9140B0}"/>
            </a:ext>
          </a:extLst>
        </xdr:cNvPr>
        <xdr:cNvSpPr/>
      </xdr:nvSpPr>
      <xdr:spPr>
        <a:xfrm>
          <a:off x="0" y="129540"/>
          <a:ext cx="1980000" cy="32400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0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198120</xdr:colOff>
      <xdr:row>7</xdr:row>
      <xdr:rowOff>182880</xdr:rowOff>
    </xdr:from>
    <xdr:to>
      <xdr:col>0</xdr:col>
      <xdr:colOff>1783080</xdr:colOff>
      <xdr:row>10</xdr:row>
      <xdr:rowOff>45720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547976-5BDC-4066-8D90-0CFBD3FE81AD}"/>
            </a:ext>
          </a:extLst>
        </xdr:cNvPr>
        <xdr:cNvSpPr/>
      </xdr:nvSpPr>
      <xdr:spPr>
        <a:xfrm>
          <a:off x="198120" y="160782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198120</xdr:colOff>
      <xdr:row>10</xdr:row>
      <xdr:rowOff>172720</xdr:rowOff>
    </xdr:from>
    <xdr:to>
      <xdr:col>0</xdr:col>
      <xdr:colOff>1783080</xdr:colOff>
      <xdr:row>13</xdr:row>
      <xdr:rowOff>35560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BE5AA1-CC9C-4891-8D32-E3DB4B8F4118}"/>
            </a:ext>
          </a:extLst>
        </xdr:cNvPr>
        <xdr:cNvSpPr/>
      </xdr:nvSpPr>
      <xdr:spPr>
        <a:xfrm>
          <a:off x="198120" y="2169160"/>
          <a:ext cx="1584960" cy="434340"/>
        </a:xfrm>
        <a:prstGeom prst="roundRect">
          <a:avLst>
            <a:gd name="adj" fmla="val 50000"/>
          </a:avLst>
        </a:prstGeom>
        <a:gradFill>
          <a:gsLst>
            <a:gs pos="37000">
              <a:srgbClr val="EE37BF">
                <a:alpha val="79000"/>
                <a:lumMod val="80000"/>
                <a:lumOff val="20000"/>
              </a:srgbClr>
            </a:gs>
            <a:gs pos="86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198120</xdr:colOff>
      <xdr:row>13</xdr:row>
      <xdr:rowOff>162560</xdr:rowOff>
    </xdr:from>
    <xdr:to>
      <xdr:col>0</xdr:col>
      <xdr:colOff>1783080</xdr:colOff>
      <xdr:row>16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3C8C30-A657-47FC-8B57-54D5D4006AAC}"/>
            </a:ext>
          </a:extLst>
        </xdr:cNvPr>
        <xdr:cNvSpPr/>
      </xdr:nvSpPr>
      <xdr:spPr>
        <a:xfrm>
          <a:off x="198120" y="273050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180600</xdr:colOff>
      <xdr:row>20</xdr:row>
      <xdr:rowOff>38100</xdr:rowOff>
    </xdr:from>
    <xdr:to>
      <xdr:col>0</xdr:col>
      <xdr:colOff>1800600</xdr:colOff>
      <xdr:row>20</xdr:row>
      <xdr:rowOff>38100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D74A519-9A3A-40E1-B720-6E56C0FA3144}"/>
            </a:ext>
          </a:extLst>
        </xdr:cNvPr>
        <xdr:cNvCxnSpPr/>
      </xdr:nvCxnSpPr>
      <xdr:spPr>
        <a:xfrm>
          <a:off x="180600" y="3939540"/>
          <a:ext cx="1620000" cy="0"/>
        </a:xfrm>
        <a:prstGeom prst="line">
          <a:avLst/>
        </a:prstGeom>
        <a:ln w="254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20</xdr:row>
      <xdr:rowOff>0</xdr:rowOff>
    </xdr:from>
    <xdr:to>
      <xdr:col>0</xdr:col>
      <xdr:colOff>1847850</xdr:colOff>
      <xdr:row>22</xdr:row>
      <xdr:rowOff>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D917E26-8BF3-496C-9904-82D85EACB576}"/>
            </a:ext>
          </a:extLst>
        </xdr:cNvPr>
        <xdr:cNvSpPr/>
      </xdr:nvSpPr>
      <xdr:spPr>
        <a:xfrm>
          <a:off x="133350" y="3901440"/>
          <a:ext cx="17145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BYE FCASTRO</a:t>
          </a:r>
          <a:r>
            <a:rPr lang="pt-BR" sz="1100" b="1"/>
            <a:t> 😎</a:t>
          </a:r>
        </a:p>
      </xdr:txBody>
    </xdr:sp>
    <xdr:clientData/>
  </xdr:twoCellAnchor>
  <xdr:twoCellAnchor editAs="absolute">
    <xdr:from>
      <xdr:col>0</xdr:col>
      <xdr:colOff>750570</xdr:colOff>
      <xdr:row>22</xdr:row>
      <xdr:rowOff>106680</xdr:rowOff>
    </xdr:from>
    <xdr:to>
      <xdr:col>0</xdr:col>
      <xdr:colOff>1230630</xdr:colOff>
      <xdr:row>25</xdr:row>
      <xdr:rowOff>15240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FD337D-583A-4460-BEC7-72A9CC49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" y="4389120"/>
          <a:ext cx="48006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198120</xdr:colOff>
      <xdr:row>16</xdr:row>
      <xdr:rowOff>152400</xdr:rowOff>
    </xdr:from>
    <xdr:to>
      <xdr:col>0</xdr:col>
      <xdr:colOff>1783080</xdr:colOff>
      <xdr:row>19</xdr:row>
      <xdr:rowOff>15240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E7ABB5-F31A-4406-B065-D1B55B2BEE10}"/>
            </a:ext>
          </a:extLst>
        </xdr:cNvPr>
        <xdr:cNvSpPr/>
      </xdr:nvSpPr>
      <xdr:spPr>
        <a:xfrm>
          <a:off x="198120" y="329184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22860</xdr:rowOff>
    </xdr:from>
    <xdr:to>
      <xdr:col>3</xdr:col>
      <xdr:colOff>653415</xdr:colOff>
      <xdr:row>1</xdr:row>
      <xdr:rowOff>175260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83FC03-7438-443E-967A-DF431C72A6C8}"/>
            </a:ext>
          </a:extLst>
        </xdr:cNvPr>
        <xdr:cNvSpPr/>
      </xdr:nvSpPr>
      <xdr:spPr>
        <a:xfrm>
          <a:off x="2583180" y="22860"/>
          <a:ext cx="2764155" cy="33528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</a:t>
          </a:r>
          <a:r>
            <a:rPr lang="pt-BR" sz="1100" b="1" baseline="0"/>
            <a:t> ANTERIOR</a:t>
          </a:r>
          <a:endParaRPr lang="pt-BR" sz="1100"/>
        </a:p>
      </xdr:txBody>
    </xdr:sp>
    <xdr:clientData/>
  </xdr:twoCellAnchor>
  <xdr:twoCellAnchor editAs="absolute">
    <xdr:from>
      <xdr:col>3</xdr:col>
      <xdr:colOff>1455420</xdr:colOff>
      <xdr:row>0</xdr:row>
      <xdr:rowOff>22860</xdr:rowOff>
    </xdr:from>
    <xdr:to>
      <xdr:col>4</xdr:col>
      <xdr:colOff>2108835</xdr:colOff>
      <xdr:row>1</xdr:row>
      <xdr:rowOff>175260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F4C56F-E9CF-481F-8C55-5C0FCAA45FAC}"/>
            </a:ext>
          </a:extLst>
        </xdr:cNvPr>
        <xdr:cNvSpPr/>
      </xdr:nvSpPr>
      <xdr:spPr>
        <a:xfrm>
          <a:off x="6149340" y="22860"/>
          <a:ext cx="2764155" cy="33528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/>
            <a:t> ➡️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537210</xdr:colOff>
      <xdr:row>2</xdr:row>
      <xdr:rowOff>182880</xdr:rowOff>
    </xdr:from>
    <xdr:to>
      <xdr:col>0</xdr:col>
      <xdr:colOff>1443990</xdr:colOff>
      <xdr:row>7</xdr:row>
      <xdr:rowOff>30480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67F09A3-307C-452D-A0F1-0CA6B4AA2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" y="54864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129540</xdr:rowOff>
    </xdr:from>
    <xdr:to>
      <xdr:col>1</xdr:col>
      <xdr:colOff>6420</xdr:colOff>
      <xdr:row>2</xdr:row>
      <xdr:rowOff>87780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EC8CDF3-2657-4B53-B16F-3CD06D022006}"/>
            </a:ext>
          </a:extLst>
        </xdr:cNvPr>
        <xdr:cNvSpPr/>
      </xdr:nvSpPr>
      <xdr:spPr>
        <a:xfrm>
          <a:off x="0" y="129540"/>
          <a:ext cx="1980000" cy="32400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0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198120</xdr:colOff>
      <xdr:row>7</xdr:row>
      <xdr:rowOff>182880</xdr:rowOff>
    </xdr:from>
    <xdr:to>
      <xdr:col>0</xdr:col>
      <xdr:colOff>1783080</xdr:colOff>
      <xdr:row>10</xdr:row>
      <xdr:rowOff>45720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074C46-40B9-450A-9344-52F9A2BFBE00}"/>
            </a:ext>
          </a:extLst>
        </xdr:cNvPr>
        <xdr:cNvSpPr/>
      </xdr:nvSpPr>
      <xdr:spPr>
        <a:xfrm>
          <a:off x="198120" y="160782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198120</xdr:colOff>
      <xdr:row>10</xdr:row>
      <xdr:rowOff>172720</xdr:rowOff>
    </xdr:from>
    <xdr:to>
      <xdr:col>0</xdr:col>
      <xdr:colOff>1783080</xdr:colOff>
      <xdr:row>13</xdr:row>
      <xdr:rowOff>35560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D0CA91-FD26-44F6-A8CB-20116504A123}"/>
            </a:ext>
          </a:extLst>
        </xdr:cNvPr>
        <xdr:cNvSpPr/>
      </xdr:nvSpPr>
      <xdr:spPr>
        <a:xfrm>
          <a:off x="198120" y="216916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198120</xdr:colOff>
      <xdr:row>13</xdr:row>
      <xdr:rowOff>162560</xdr:rowOff>
    </xdr:from>
    <xdr:to>
      <xdr:col>0</xdr:col>
      <xdr:colOff>1783080</xdr:colOff>
      <xdr:row>16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C2187E-FFB4-47C5-8728-3BFFA1529C38}"/>
            </a:ext>
          </a:extLst>
        </xdr:cNvPr>
        <xdr:cNvSpPr/>
      </xdr:nvSpPr>
      <xdr:spPr>
        <a:xfrm>
          <a:off x="198120" y="2730500"/>
          <a:ext cx="1584960" cy="434340"/>
        </a:xfrm>
        <a:prstGeom prst="roundRect">
          <a:avLst>
            <a:gd name="adj" fmla="val 50000"/>
          </a:avLst>
        </a:prstGeom>
        <a:gradFill>
          <a:gsLst>
            <a:gs pos="37000">
              <a:srgbClr val="EE37BF">
                <a:alpha val="79000"/>
                <a:lumMod val="80000"/>
                <a:lumOff val="20000"/>
              </a:srgbClr>
            </a:gs>
            <a:gs pos="86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180600</xdr:colOff>
      <xdr:row>20</xdr:row>
      <xdr:rowOff>38100</xdr:rowOff>
    </xdr:from>
    <xdr:to>
      <xdr:col>0</xdr:col>
      <xdr:colOff>1800600</xdr:colOff>
      <xdr:row>20</xdr:row>
      <xdr:rowOff>38100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1CED7E7-BAA5-4698-BF31-C4915003EB8A}"/>
            </a:ext>
          </a:extLst>
        </xdr:cNvPr>
        <xdr:cNvCxnSpPr/>
      </xdr:nvCxnSpPr>
      <xdr:spPr>
        <a:xfrm>
          <a:off x="180600" y="3939540"/>
          <a:ext cx="1620000" cy="0"/>
        </a:xfrm>
        <a:prstGeom prst="line">
          <a:avLst/>
        </a:prstGeom>
        <a:ln w="254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20</xdr:row>
      <xdr:rowOff>0</xdr:rowOff>
    </xdr:from>
    <xdr:to>
      <xdr:col>0</xdr:col>
      <xdr:colOff>1847850</xdr:colOff>
      <xdr:row>22</xdr:row>
      <xdr:rowOff>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554A4BCD-E560-44A0-AB36-EC268EA2919D}"/>
            </a:ext>
          </a:extLst>
        </xdr:cNvPr>
        <xdr:cNvSpPr/>
      </xdr:nvSpPr>
      <xdr:spPr>
        <a:xfrm>
          <a:off x="133350" y="3901440"/>
          <a:ext cx="17145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BYE FCASTRO</a:t>
          </a:r>
          <a:r>
            <a:rPr lang="pt-BR" sz="1100" b="1"/>
            <a:t> 😎</a:t>
          </a:r>
        </a:p>
      </xdr:txBody>
    </xdr:sp>
    <xdr:clientData/>
  </xdr:twoCellAnchor>
  <xdr:twoCellAnchor editAs="absolute">
    <xdr:from>
      <xdr:col>0</xdr:col>
      <xdr:colOff>750570</xdr:colOff>
      <xdr:row>22</xdr:row>
      <xdr:rowOff>106680</xdr:rowOff>
    </xdr:from>
    <xdr:to>
      <xdr:col>0</xdr:col>
      <xdr:colOff>1230630</xdr:colOff>
      <xdr:row>25</xdr:row>
      <xdr:rowOff>15240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6B4593-BF2A-4537-9BC4-98BB4DC41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" y="4389120"/>
          <a:ext cx="48006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198120</xdr:colOff>
      <xdr:row>16</xdr:row>
      <xdr:rowOff>152400</xdr:rowOff>
    </xdr:from>
    <xdr:to>
      <xdr:col>0</xdr:col>
      <xdr:colOff>1783080</xdr:colOff>
      <xdr:row>19</xdr:row>
      <xdr:rowOff>15240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91A64D-C02B-4F78-B8E3-7135DB8C43E5}"/>
            </a:ext>
          </a:extLst>
        </xdr:cNvPr>
        <xdr:cNvSpPr/>
      </xdr:nvSpPr>
      <xdr:spPr>
        <a:xfrm>
          <a:off x="198120" y="329184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22860</xdr:rowOff>
    </xdr:from>
    <xdr:to>
      <xdr:col>3</xdr:col>
      <xdr:colOff>653415</xdr:colOff>
      <xdr:row>1</xdr:row>
      <xdr:rowOff>175260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99C379-19A4-4E5A-BF0C-6D8B0F829C8A}"/>
            </a:ext>
          </a:extLst>
        </xdr:cNvPr>
        <xdr:cNvSpPr/>
      </xdr:nvSpPr>
      <xdr:spPr>
        <a:xfrm>
          <a:off x="2583180" y="22860"/>
          <a:ext cx="2764155" cy="33528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</a:t>
          </a:r>
          <a:r>
            <a:rPr lang="pt-BR" sz="1100" b="1" baseline="0"/>
            <a:t> ANTERIOR</a:t>
          </a:r>
          <a:endParaRPr lang="pt-BR" sz="1100"/>
        </a:p>
      </xdr:txBody>
    </xdr:sp>
    <xdr:clientData/>
  </xdr:twoCellAnchor>
  <xdr:twoCellAnchor editAs="absolute">
    <xdr:from>
      <xdr:col>3</xdr:col>
      <xdr:colOff>1455420</xdr:colOff>
      <xdr:row>0</xdr:row>
      <xdr:rowOff>22860</xdr:rowOff>
    </xdr:from>
    <xdr:to>
      <xdr:col>4</xdr:col>
      <xdr:colOff>2108835</xdr:colOff>
      <xdr:row>1</xdr:row>
      <xdr:rowOff>175260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A58A55-4A91-4A55-B642-A44860D767EC}"/>
            </a:ext>
          </a:extLst>
        </xdr:cNvPr>
        <xdr:cNvSpPr/>
      </xdr:nvSpPr>
      <xdr:spPr>
        <a:xfrm>
          <a:off x="6149340" y="22860"/>
          <a:ext cx="2764155" cy="33528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/>
            <a:t> ➡️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537210</xdr:colOff>
      <xdr:row>2</xdr:row>
      <xdr:rowOff>182880</xdr:rowOff>
    </xdr:from>
    <xdr:to>
      <xdr:col>0</xdr:col>
      <xdr:colOff>1443990</xdr:colOff>
      <xdr:row>7</xdr:row>
      <xdr:rowOff>30480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7D6BD4A-D0F0-45B9-B6CE-A32B2B052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" y="54864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129540</xdr:rowOff>
    </xdr:from>
    <xdr:to>
      <xdr:col>1</xdr:col>
      <xdr:colOff>6420</xdr:colOff>
      <xdr:row>2</xdr:row>
      <xdr:rowOff>87780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CC8ED8F-0C03-446B-85AB-1E35CA42A96A}"/>
            </a:ext>
          </a:extLst>
        </xdr:cNvPr>
        <xdr:cNvSpPr/>
      </xdr:nvSpPr>
      <xdr:spPr>
        <a:xfrm>
          <a:off x="0" y="129540"/>
          <a:ext cx="1980000" cy="324000"/>
        </a:xfrm>
        <a:prstGeom prst="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bg1"/>
                  </a:gs>
                  <a:gs pos="50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24E8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198120</xdr:colOff>
      <xdr:row>7</xdr:row>
      <xdr:rowOff>182880</xdr:rowOff>
    </xdr:from>
    <xdr:to>
      <xdr:col>0</xdr:col>
      <xdr:colOff>1783080</xdr:colOff>
      <xdr:row>10</xdr:row>
      <xdr:rowOff>45720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F60ECA-30E8-4293-ACC9-33C8F81CEC55}"/>
            </a:ext>
          </a:extLst>
        </xdr:cNvPr>
        <xdr:cNvSpPr/>
      </xdr:nvSpPr>
      <xdr:spPr>
        <a:xfrm>
          <a:off x="198120" y="160782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198120</xdr:colOff>
      <xdr:row>10</xdr:row>
      <xdr:rowOff>172720</xdr:rowOff>
    </xdr:from>
    <xdr:to>
      <xdr:col>0</xdr:col>
      <xdr:colOff>1783080</xdr:colOff>
      <xdr:row>13</xdr:row>
      <xdr:rowOff>35560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6CC8E4-DAA3-4540-9FEC-AC9CB8066B67}"/>
            </a:ext>
          </a:extLst>
        </xdr:cNvPr>
        <xdr:cNvSpPr/>
      </xdr:nvSpPr>
      <xdr:spPr>
        <a:xfrm>
          <a:off x="198120" y="216916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198120</xdr:colOff>
      <xdr:row>13</xdr:row>
      <xdr:rowOff>162560</xdr:rowOff>
    </xdr:from>
    <xdr:to>
      <xdr:col>0</xdr:col>
      <xdr:colOff>1783080</xdr:colOff>
      <xdr:row>16</xdr:row>
      <xdr:rowOff>25400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7E6C24-A319-4CC0-A3BD-58C6C8BCC6EC}"/>
            </a:ext>
          </a:extLst>
        </xdr:cNvPr>
        <xdr:cNvSpPr/>
      </xdr:nvSpPr>
      <xdr:spPr>
        <a:xfrm>
          <a:off x="198120" y="2730500"/>
          <a:ext cx="1584960" cy="4343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180600</xdr:colOff>
      <xdr:row>20</xdr:row>
      <xdr:rowOff>38100</xdr:rowOff>
    </xdr:from>
    <xdr:to>
      <xdr:col>0</xdr:col>
      <xdr:colOff>1800600</xdr:colOff>
      <xdr:row>20</xdr:row>
      <xdr:rowOff>38100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02EBA40-7DFF-402C-95D2-0E76DEF21426}"/>
            </a:ext>
          </a:extLst>
        </xdr:cNvPr>
        <xdr:cNvCxnSpPr/>
      </xdr:nvCxnSpPr>
      <xdr:spPr>
        <a:xfrm>
          <a:off x="180600" y="3939540"/>
          <a:ext cx="1620000" cy="0"/>
        </a:xfrm>
        <a:prstGeom prst="line">
          <a:avLst/>
        </a:prstGeom>
        <a:ln w="25400"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20</xdr:row>
      <xdr:rowOff>0</xdr:rowOff>
    </xdr:from>
    <xdr:to>
      <xdr:col>0</xdr:col>
      <xdr:colOff>1847850</xdr:colOff>
      <xdr:row>22</xdr:row>
      <xdr:rowOff>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6892E93-BB20-4834-816D-20C5CCE32114}"/>
            </a:ext>
          </a:extLst>
        </xdr:cNvPr>
        <xdr:cNvSpPr/>
      </xdr:nvSpPr>
      <xdr:spPr>
        <a:xfrm>
          <a:off x="133350" y="3901440"/>
          <a:ext cx="17145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65000"/>
                </a:schemeClr>
              </a:solidFill>
            </a:rPr>
            <a:t>SYSTEM BYE FCASTRO</a:t>
          </a:r>
          <a:r>
            <a:rPr lang="pt-BR" sz="1100" b="1"/>
            <a:t> 😎</a:t>
          </a:r>
        </a:p>
      </xdr:txBody>
    </xdr:sp>
    <xdr:clientData/>
  </xdr:twoCellAnchor>
  <xdr:twoCellAnchor editAs="absolute">
    <xdr:from>
      <xdr:col>0</xdr:col>
      <xdr:colOff>750570</xdr:colOff>
      <xdr:row>22</xdr:row>
      <xdr:rowOff>106680</xdr:rowOff>
    </xdr:from>
    <xdr:to>
      <xdr:col>0</xdr:col>
      <xdr:colOff>1230630</xdr:colOff>
      <xdr:row>25</xdr:row>
      <xdr:rowOff>15240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FC2FBF-57E2-41C3-B52D-BA65D4C6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" y="4389120"/>
          <a:ext cx="48006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198120</xdr:colOff>
      <xdr:row>16</xdr:row>
      <xdr:rowOff>152400</xdr:rowOff>
    </xdr:from>
    <xdr:to>
      <xdr:col>0</xdr:col>
      <xdr:colOff>1783080</xdr:colOff>
      <xdr:row>19</xdr:row>
      <xdr:rowOff>15240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DF653E-A92B-4614-A536-659833719543}"/>
            </a:ext>
          </a:extLst>
        </xdr:cNvPr>
        <xdr:cNvSpPr/>
      </xdr:nvSpPr>
      <xdr:spPr>
        <a:xfrm>
          <a:off x="198120" y="3291840"/>
          <a:ext cx="1584960" cy="434340"/>
        </a:xfrm>
        <a:prstGeom prst="roundRect">
          <a:avLst>
            <a:gd name="adj" fmla="val 50000"/>
          </a:avLst>
        </a:prstGeom>
        <a:gradFill>
          <a:gsLst>
            <a:gs pos="37000">
              <a:srgbClr val="EE37BF">
                <a:alpha val="79000"/>
                <a:lumMod val="80000"/>
                <a:lumOff val="20000"/>
              </a:srgbClr>
            </a:gs>
            <a:gs pos="86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22860</xdr:rowOff>
    </xdr:from>
    <xdr:to>
      <xdr:col>3</xdr:col>
      <xdr:colOff>653415</xdr:colOff>
      <xdr:row>1</xdr:row>
      <xdr:rowOff>175260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A6E147-20A5-4474-935C-81BCE0AD06D9}"/>
            </a:ext>
          </a:extLst>
        </xdr:cNvPr>
        <xdr:cNvSpPr/>
      </xdr:nvSpPr>
      <xdr:spPr>
        <a:xfrm>
          <a:off x="2583180" y="22860"/>
          <a:ext cx="2764155" cy="335280"/>
        </a:xfrm>
        <a:prstGeom prst="rect">
          <a:avLst/>
        </a:prstGeom>
        <a:solidFill>
          <a:srgbClr val="EE37B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⬅️</a:t>
          </a:r>
          <a:r>
            <a:rPr lang="pt-BR" sz="1100" b="1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9CA991-850C-4B93-B46C-9A9665952A79}" name="Tabela138" displayName="Tabela138" ref="C8:E30" totalsRowShown="0" headerRowDxfId="4" dataDxfId="3">
  <autoFilter ref="C8:E30" xr:uid="{319CA991-850C-4B93-B46C-9A9665952A79}"/>
  <tableColumns count="3">
    <tableColumn id="1" xr3:uid="{B37D4284-E10F-4386-9EDD-90557AEA38C9}" name="BANCO" dataDxfId="2"/>
    <tableColumn id="2" xr3:uid="{6B752076-E8B3-433A-B5A4-7A77111D1C19}" name="VALOR ATUAL" dataDxfId="1"/>
    <tableColumn id="3" xr3:uid="{201B8BE6-89C1-4153-8FE1-CFA75AF7C1FF}" name="ANEXO 🖇️" dataDxfId="0"/>
  </tableColumns>
  <tableStyleInfo name="Estilo Ros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DC1AEA-C348-43EB-B8DA-B2A4697050C3}" name="Tabela16" displayName="Tabela16" ref="C8:E30" totalsRowShown="0" headerRowDxfId="14" dataDxfId="13">
  <autoFilter ref="C8:E30" xr:uid="{C9DC1AEA-C348-43EB-B8DA-B2A4697050C3}"/>
  <tableColumns count="3">
    <tableColumn id="1" xr3:uid="{C53317BC-1442-4D11-BDA0-3E29E284CA73}" name="REFERÊNCIA" dataDxfId="12"/>
    <tableColumn id="2" xr3:uid="{1915C6F6-C0B5-45C0-9324-E01C5E076B8B}" name="CATEGORIA" dataDxfId="11"/>
    <tableColumn id="3" xr3:uid="{6C7D0943-7975-4B84-884B-368888C86595}" name="VALOR" dataDxfId="10"/>
  </tableColumns>
  <tableStyleInfo name="Estilo Ros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86F65-54AF-4980-90D4-501728E3F97C}" name="Tabela14" displayName="Tabela14" ref="C8:E30" totalsRowShown="0" headerRowDxfId="9" dataDxfId="8">
  <autoFilter ref="C8:E30" xr:uid="{88F86F65-54AF-4980-90D4-501728E3F97C}"/>
  <tableColumns count="3">
    <tableColumn id="1" xr3:uid="{BBAFCB7F-2D18-443E-9486-681E946AF0AE}" name="REFERÊNCIA" dataDxfId="7"/>
    <tableColumn id="2" xr3:uid="{B034FB1A-76B1-45A0-969A-C3C98A8EACF7}" name="CATEGORIA" dataDxfId="6"/>
    <tableColumn id="3" xr3:uid="{0D39F5DD-8323-4F97-AFCD-D510B236EF4B}" name="VALOR" dataDxfId="5"/>
  </tableColumns>
  <tableStyleInfo name="Estilo Ros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mando.silv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showRowColHeaders="0" workbookViewId="0">
      <selection activeCell="D7" sqref="D7:E7"/>
    </sheetView>
  </sheetViews>
  <sheetFormatPr defaultColWidth="0" defaultRowHeight="14.4" zeroHeight="1" x14ac:dyDescent="0.3"/>
  <cols>
    <col min="1" max="1" width="28.77734375" style="6" customWidth="1"/>
    <col min="2" max="2" width="8.88671875" style="7" customWidth="1"/>
    <col min="3" max="3" width="45.77734375" style="7" customWidth="1"/>
    <col min="4" max="4" width="40.77734375" style="7" customWidth="1"/>
    <col min="5" max="5" width="5.77734375" style="7" customWidth="1"/>
    <col min="6" max="6" width="8.88671875" style="7" customWidth="1"/>
    <col min="7" max="16384" width="8.88671875" style="7" hidden="1"/>
  </cols>
  <sheetData>
    <row r="1" spans="3:5" ht="14.4" customHeight="1" x14ac:dyDescent="0.3"/>
    <row r="2" spans="3:5" ht="14.4" customHeight="1" x14ac:dyDescent="0.3"/>
    <row r="3" spans="3:5" ht="20.399999999999999" customHeight="1" thickBot="1" x14ac:dyDescent="0.35">
      <c r="C3" s="20" t="s">
        <v>14</v>
      </c>
      <c r="D3" s="20"/>
      <c r="E3" s="20"/>
    </row>
    <row r="4" spans="3:5" ht="19.95" customHeight="1" thickTop="1" x14ac:dyDescent="0.3">
      <c r="C4" s="21" t="s">
        <v>15</v>
      </c>
      <c r="D4" s="21"/>
      <c r="E4" s="21"/>
    </row>
    <row r="5" spans="3:5" ht="14.4" customHeight="1" x14ac:dyDescent="0.3"/>
    <row r="6" spans="3:5" ht="14.4" customHeight="1" x14ac:dyDescent="0.3"/>
    <row r="7" spans="3:5" ht="16.8" x14ac:dyDescent="0.3">
      <c r="C7" s="11" t="s">
        <v>0</v>
      </c>
      <c r="D7" s="13" t="s">
        <v>17</v>
      </c>
      <c r="E7" s="13"/>
    </row>
    <row r="8" spans="3:5" ht="16.8" x14ac:dyDescent="0.3">
      <c r="C8" s="11" t="s">
        <v>1</v>
      </c>
      <c r="D8" s="15">
        <v>33388899900</v>
      </c>
      <c r="E8" s="15"/>
    </row>
    <row r="9" spans="3:5" ht="16.8" x14ac:dyDescent="0.3">
      <c r="C9" s="11" t="s">
        <v>2</v>
      </c>
      <c r="D9" s="14">
        <v>30953</v>
      </c>
      <c r="E9" s="14"/>
    </row>
    <row r="10" spans="3:5" ht="16.8" x14ac:dyDescent="0.3">
      <c r="C10" s="11" t="s">
        <v>3</v>
      </c>
      <c r="D10" s="13">
        <v>31733378</v>
      </c>
      <c r="E10" s="13"/>
    </row>
    <row r="11" spans="3:5" ht="16.8" x14ac:dyDescent="0.3">
      <c r="C11" s="11" t="s">
        <v>4</v>
      </c>
      <c r="D11" s="13" t="s">
        <v>20</v>
      </c>
      <c r="E11" s="13"/>
    </row>
    <row r="12" spans="3:5" ht="16.8" x14ac:dyDescent="0.3">
      <c r="C12" s="11" t="s">
        <v>5</v>
      </c>
      <c r="D12" s="13" t="s">
        <v>19</v>
      </c>
      <c r="E12" s="13"/>
    </row>
    <row r="13" spans="3:5" ht="16.8" x14ac:dyDescent="0.3">
      <c r="C13" s="11" t="s">
        <v>6</v>
      </c>
      <c r="D13" s="13" t="s">
        <v>19</v>
      </c>
      <c r="E13" s="13"/>
    </row>
    <row r="14" spans="3:5" ht="16.8" x14ac:dyDescent="0.3">
      <c r="C14" s="11" t="s">
        <v>7</v>
      </c>
      <c r="D14" s="19">
        <v>65070156</v>
      </c>
      <c r="E14" s="19"/>
    </row>
    <row r="15" spans="3:5" ht="16.8" x14ac:dyDescent="0.3">
      <c r="C15" s="11" t="s">
        <v>8</v>
      </c>
      <c r="D15" s="16">
        <v>9832255966</v>
      </c>
      <c r="E15" s="16"/>
    </row>
    <row r="16" spans="3:5" ht="16.8" x14ac:dyDescent="0.3">
      <c r="C16" s="11" t="s">
        <v>9</v>
      </c>
      <c r="D16" s="17">
        <v>98988211520</v>
      </c>
      <c r="E16" s="17"/>
    </row>
    <row r="17" spans="3:5" ht="16.8" x14ac:dyDescent="0.3">
      <c r="C17" s="11" t="s">
        <v>10</v>
      </c>
      <c r="D17" s="18" t="s">
        <v>18</v>
      </c>
      <c r="E17" s="18"/>
    </row>
    <row r="18" spans="3:5" ht="16.8" x14ac:dyDescent="0.3">
      <c r="C18" s="11" t="s">
        <v>11</v>
      </c>
      <c r="D18" s="13" t="s">
        <v>16</v>
      </c>
      <c r="E18" s="13"/>
    </row>
    <row r="19" spans="3:5" ht="16.8" x14ac:dyDescent="0.3">
      <c r="C19" s="11" t="s">
        <v>12</v>
      </c>
      <c r="D19" s="13" t="s">
        <v>16</v>
      </c>
      <c r="E19" s="13"/>
    </row>
    <row r="20" spans="3:5" ht="16.8" x14ac:dyDescent="0.3">
      <c r="C20" s="11" t="s">
        <v>13</v>
      </c>
      <c r="D20" s="13" t="s">
        <v>16</v>
      </c>
      <c r="E20" s="13"/>
    </row>
    <row r="21" spans="3:5" x14ac:dyDescent="0.3"/>
    <row r="22" spans="3:5" x14ac:dyDescent="0.3"/>
    <row r="23" spans="3:5" x14ac:dyDescent="0.3"/>
    <row r="24" spans="3:5" x14ac:dyDescent="0.3"/>
    <row r="25" spans="3:5" x14ac:dyDescent="0.3"/>
    <row r="26" spans="3:5" x14ac:dyDescent="0.3"/>
    <row r="27" spans="3:5" x14ac:dyDescent="0.3"/>
    <row r="28" spans="3:5" x14ac:dyDescent="0.3"/>
    <row r="29" spans="3:5" x14ac:dyDescent="0.3"/>
    <row r="30" spans="3:5" x14ac:dyDescent="0.3"/>
    <row r="31" spans="3:5" x14ac:dyDescent="0.3"/>
    <row r="32" spans="3:5" x14ac:dyDescent="0.3"/>
    <row r="33" x14ac:dyDescent="0.3"/>
  </sheetData>
  <sheetProtection sheet="1" objects="1" scenarios="1" selectLockedCells="1" autoFilter="0"/>
  <mergeCells count="16">
    <mergeCell ref="C3:E3"/>
    <mergeCell ref="C4:E4"/>
    <mergeCell ref="D20:E20"/>
    <mergeCell ref="D9:E9"/>
    <mergeCell ref="D8:E8"/>
    <mergeCell ref="D7:E7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</mergeCells>
  <dataValidations count="1">
    <dataValidation type="list" allowBlank="1" showInputMessage="1" showErrorMessage="1" sqref="D18:D20" xr:uid="{87A76589-97C7-4BD9-B3CC-1A6CE5EDE2CE}">
      <formula1>"SIM,NÃO"</formula1>
    </dataValidation>
  </dataValidations>
  <hyperlinks>
    <hyperlink ref="D17" r:id="rId1" xr:uid="{1D6D8017-67CB-4731-B086-A1962E1C5B0F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2F0F-811E-4CDA-B441-83D9E096A94D}">
  <dimension ref="A1:E33"/>
  <sheetViews>
    <sheetView showGridLines="0" showRowColHeader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0" defaultRowHeight="14.4" zeroHeight="1" x14ac:dyDescent="0.3"/>
  <cols>
    <col min="1" max="1" width="28.77734375" style="6" customWidth="1"/>
    <col min="2" max="2" width="8.88671875" style="7" customWidth="1"/>
    <col min="3" max="5" width="30.77734375" style="7" customWidth="1"/>
    <col min="6" max="6" width="8.88671875" style="7" customWidth="1"/>
    <col min="7" max="16384" width="8.88671875" style="7" hidden="1"/>
  </cols>
  <sheetData>
    <row r="1" spans="3:5" ht="14.4" customHeight="1" x14ac:dyDescent="0.3"/>
    <row r="2" spans="3:5" ht="14.4" customHeight="1" x14ac:dyDescent="0.3"/>
    <row r="3" spans="3:5" ht="20.399999999999999" customHeight="1" thickBot="1" x14ac:dyDescent="0.35">
      <c r="C3" s="20" t="s">
        <v>76</v>
      </c>
      <c r="D3" s="20"/>
      <c r="E3" s="20"/>
    </row>
    <row r="4" spans="3:5" ht="19.95" customHeight="1" thickTop="1" x14ac:dyDescent="0.3">
      <c r="C4" s="21" t="s">
        <v>21</v>
      </c>
      <c r="D4" s="21"/>
      <c r="E4" s="21"/>
    </row>
    <row r="5" spans="3:5" ht="14.4" customHeight="1" x14ac:dyDescent="0.3"/>
    <row r="6" spans="3:5" ht="14.4" customHeight="1" x14ac:dyDescent="0.3"/>
    <row r="7" spans="3:5" x14ac:dyDescent="0.3">
      <c r="C7" s="10" t="s">
        <v>75</v>
      </c>
      <c r="D7" s="22" t="str">
        <f>"TOTAL R$ "&amp;TEXT(SUM(Tabela138[VALOR ATUAL]),"###.###.###.##0,00")</f>
        <v>TOTAL R$ 59.157.000,00</v>
      </c>
      <c r="E7" s="22"/>
    </row>
    <row r="8" spans="3:5" ht="15" x14ac:dyDescent="0.3">
      <c r="C8" s="9" t="s">
        <v>22</v>
      </c>
      <c r="D8" s="9" t="s">
        <v>23</v>
      </c>
      <c r="E8" s="9" t="s">
        <v>24</v>
      </c>
    </row>
    <row r="9" spans="3:5" ht="15" x14ac:dyDescent="0.3">
      <c r="C9" s="12" t="s">
        <v>26</v>
      </c>
      <c r="D9" s="5">
        <v>500000</v>
      </c>
      <c r="E9" s="5" t="s">
        <v>84</v>
      </c>
    </row>
    <row r="10" spans="3:5" ht="15" x14ac:dyDescent="0.3">
      <c r="C10" s="4" t="s">
        <v>27</v>
      </c>
      <c r="D10" s="5">
        <v>1312000</v>
      </c>
      <c r="E10" s="5" t="s">
        <v>83</v>
      </c>
    </row>
    <row r="11" spans="3:5" ht="15" x14ac:dyDescent="0.3">
      <c r="C11" s="4" t="s">
        <v>44</v>
      </c>
      <c r="D11" s="5">
        <v>56345000</v>
      </c>
      <c r="E11" s="5" t="s">
        <v>82</v>
      </c>
    </row>
    <row r="12" spans="3:5" ht="15" x14ac:dyDescent="0.3">
      <c r="C12" s="4" t="s">
        <v>25</v>
      </c>
      <c r="D12" s="5">
        <v>1000000</v>
      </c>
      <c r="E12" s="5" t="s">
        <v>85</v>
      </c>
    </row>
    <row r="13" spans="3:5" ht="15" x14ac:dyDescent="0.3">
      <c r="C13" s="23"/>
      <c r="D13" s="24"/>
      <c r="E13" s="24"/>
    </row>
    <row r="14" spans="3:5" ht="15" x14ac:dyDescent="0.3">
      <c r="C14" s="23"/>
      <c r="D14" s="24"/>
      <c r="E14" s="24"/>
    </row>
    <row r="15" spans="3:5" ht="15" x14ac:dyDescent="0.3">
      <c r="C15" s="23"/>
      <c r="D15" s="24"/>
      <c r="E15" s="24"/>
    </row>
    <row r="16" spans="3:5" ht="15" x14ac:dyDescent="0.3">
      <c r="C16" s="23"/>
      <c r="D16" s="24"/>
      <c r="E16" s="24"/>
    </row>
    <row r="17" spans="3:5" ht="15" x14ac:dyDescent="0.3">
      <c r="C17" s="23"/>
      <c r="D17" s="24"/>
      <c r="E17" s="24"/>
    </row>
    <row r="18" spans="3:5" ht="15" x14ac:dyDescent="0.3">
      <c r="C18" s="23"/>
      <c r="D18" s="24"/>
      <c r="E18" s="24"/>
    </row>
    <row r="19" spans="3:5" ht="15" x14ac:dyDescent="0.3">
      <c r="C19" s="23"/>
      <c r="D19" s="24"/>
      <c r="E19" s="24"/>
    </row>
    <row r="20" spans="3:5" ht="15" x14ac:dyDescent="0.3">
      <c r="C20" s="23"/>
      <c r="D20" s="24"/>
      <c r="E20" s="24"/>
    </row>
    <row r="21" spans="3:5" ht="15" x14ac:dyDescent="0.3">
      <c r="C21" s="23"/>
      <c r="D21" s="24"/>
      <c r="E21" s="24"/>
    </row>
    <row r="22" spans="3:5" ht="15" x14ac:dyDescent="0.3">
      <c r="C22" s="23"/>
      <c r="D22" s="24"/>
      <c r="E22" s="24"/>
    </row>
    <row r="23" spans="3:5" ht="15" x14ac:dyDescent="0.3">
      <c r="C23" s="23"/>
      <c r="D23" s="24"/>
      <c r="E23" s="24"/>
    </row>
    <row r="24" spans="3:5" ht="15" x14ac:dyDescent="0.3">
      <c r="C24" s="23"/>
      <c r="D24" s="24"/>
      <c r="E24" s="24"/>
    </row>
    <row r="25" spans="3:5" ht="15" x14ac:dyDescent="0.3">
      <c r="C25" s="23"/>
      <c r="D25" s="24"/>
      <c r="E25" s="24"/>
    </row>
    <row r="26" spans="3:5" ht="15" x14ac:dyDescent="0.3">
      <c r="C26" s="23"/>
      <c r="D26" s="24"/>
      <c r="E26" s="24"/>
    </row>
    <row r="27" spans="3:5" ht="15" x14ac:dyDescent="0.3">
      <c r="C27" s="23"/>
      <c r="D27" s="24"/>
      <c r="E27" s="24"/>
    </row>
    <row r="28" spans="3:5" ht="15" x14ac:dyDescent="0.3">
      <c r="C28" s="23"/>
      <c r="D28" s="24"/>
      <c r="E28" s="24"/>
    </row>
    <row r="29" spans="3:5" ht="15" x14ac:dyDescent="0.3">
      <c r="C29" s="23"/>
      <c r="D29" s="24"/>
      <c r="E29" s="24"/>
    </row>
    <row r="30" spans="3:5" ht="15" x14ac:dyDescent="0.3">
      <c r="C30" s="23"/>
      <c r="D30" s="24"/>
      <c r="E30" s="24"/>
    </row>
    <row r="31" spans="3:5" x14ac:dyDescent="0.3"/>
    <row r="32" spans="3:5" x14ac:dyDescent="0.3"/>
    <row r="33" x14ac:dyDescent="0.3"/>
  </sheetData>
  <sheetProtection sheet="1" objects="1" scenarios="1" selectLockedCells="1" autoFilter="0"/>
  <mergeCells count="3">
    <mergeCell ref="C3:E3"/>
    <mergeCell ref="C4:E4"/>
    <mergeCell ref="D7:E7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F5C61524-C20A-45C3-B648-BBE128BEADD8}">
          <x14:formula1>
            <xm:f>TABELAS!$A$2:$A$51</xm:f>
          </x14:formula1>
          <xm:sqref>C9:C30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DFB7-C526-40A6-BE8C-56A3B6C906C1}">
  <dimension ref="A1:E33"/>
  <sheetViews>
    <sheetView showGridLines="0" showRowColHeader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0" defaultRowHeight="14.4" zeroHeight="1" x14ac:dyDescent="0.3"/>
  <cols>
    <col min="1" max="1" width="28.77734375" style="6" customWidth="1"/>
    <col min="2" max="2" width="8.88671875" style="7" customWidth="1"/>
    <col min="3" max="5" width="30.77734375" style="7" customWidth="1"/>
    <col min="6" max="6" width="8.88671875" style="7" customWidth="1"/>
    <col min="7" max="16384" width="8.88671875" style="7" hidden="1"/>
  </cols>
  <sheetData>
    <row r="1" spans="3:5" ht="14.4" customHeight="1" x14ac:dyDescent="0.3"/>
    <row r="2" spans="3:5" ht="14.4" customHeight="1" x14ac:dyDescent="0.3"/>
    <row r="3" spans="3:5" ht="20.399999999999999" customHeight="1" thickBot="1" x14ac:dyDescent="0.35">
      <c r="C3" s="20" t="s">
        <v>78</v>
      </c>
      <c r="D3" s="20"/>
      <c r="E3" s="20"/>
    </row>
    <row r="4" spans="3:5" ht="19.95" customHeight="1" thickTop="1" x14ac:dyDescent="0.3">
      <c r="C4" s="21" t="s">
        <v>77</v>
      </c>
      <c r="D4" s="21"/>
      <c r="E4" s="21"/>
    </row>
    <row r="5" spans="3:5" ht="14.4" customHeight="1" x14ac:dyDescent="0.3"/>
    <row r="6" spans="3:5" ht="14.4" customHeight="1" x14ac:dyDescent="0.3"/>
    <row r="7" spans="3:5" x14ac:dyDescent="0.3">
      <c r="C7" s="8" t="s">
        <v>79</v>
      </c>
      <c r="D7" s="22" t="str">
        <f>"TOTAL R$ "&amp;TEXT(SUM(Tabela16[VALOR]),"###.###.###.##0,00")</f>
        <v>TOTAL R$ 18.000,00</v>
      </c>
      <c r="E7" s="22"/>
    </row>
    <row r="8" spans="3:5" ht="15" x14ac:dyDescent="0.3">
      <c r="C8" s="9" t="s">
        <v>88</v>
      </c>
      <c r="D8" s="9" t="s">
        <v>80</v>
      </c>
      <c r="E8" s="9" t="s">
        <v>87</v>
      </c>
    </row>
    <row r="9" spans="3:5" ht="15" x14ac:dyDescent="0.3">
      <c r="C9" s="3">
        <v>46058</v>
      </c>
      <c r="D9" s="4" t="s">
        <v>81</v>
      </c>
      <c r="E9" s="5">
        <v>3000</v>
      </c>
    </row>
    <row r="10" spans="3:5" ht="15" x14ac:dyDescent="0.3">
      <c r="C10" s="3">
        <v>46113</v>
      </c>
      <c r="D10" s="4" t="s">
        <v>86</v>
      </c>
      <c r="E10" s="5">
        <v>15000</v>
      </c>
    </row>
    <row r="11" spans="3:5" ht="15" x14ac:dyDescent="0.3">
      <c r="C11" s="3"/>
      <c r="D11" s="4"/>
      <c r="E11" s="5"/>
    </row>
    <row r="12" spans="3:5" ht="15" x14ac:dyDescent="0.3">
      <c r="C12" s="25"/>
      <c r="D12" s="23"/>
      <c r="E12" s="24"/>
    </row>
    <row r="13" spans="3:5" ht="15" x14ac:dyDescent="0.3">
      <c r="C13" s="25"/>
      <c r="D13" s="23"/>
      <c r="E13" s="24"/>
    </row>
    <row r="14" spans="3:5" ht="15" x14ac:dyDescent="0.3">
      <c r="C14" s="25"/>
      <c r="D14" s="23"/>
      <c r="E14" s="24"/>
    </row>
    <row r="15" spans="3:5" ht="15" x14ac:dyDescent="0.3">
      <c r="C15" s="25"/>
      <c r="D15" s="23"/>
      <c r="E15" s="24"/>
    </row>
    <row r="16" spans="3:5" ht="15" x14ac:dyDescent="0.3">
      <c r="C16" s="25"/>
      <c r="D16" s="23"/>
      <c r="E16" s="24"/>
    </row>
    <row r="17" spans="3:5" ht="15" x14ac:dyDescent="0.3">
      <c r="C17" s="25"/>
      <c r="D17" s="23"/>
      <c r="E17" s="24"/>
    </row>
    <row r="18" spans="3:5" ht="15" x14ac:dyDescent="0.3">
      <c r="C18" s="25"/>
      <c r="D18" s="23"/>
      <c r="E18" s="24"/>
    </row>
    <row r="19" spans="3:5" ht="15" x14ac:dyDescent="0.3">
      <c r="C19" s="25"/>
      <c r="D19" s="23"/>
      <c r="E19" s="24"/>
    </row>
    <row r="20" spans="3:5" ht="15" x14ac:dyDescent="0.3">
      <c r="C20" s="25"/>
      <c r="D20" s="23"/>
      <c r="E20" s="24"/>
    </row>
    <row r="21" spans="3:5" ht="15" x14ac:dyDescent="0.3">
      <c r="C21" s="25"/>
      <c r="D21" s="23"/>
      <c r="E21" s="24"/>
    </row>
    <row r="22" spans="3:5" ht="15" x14ac:dyDescent="0.3">
      <c r="C22" s="25"/>
      <c r="D22" s="23"/>
      <c r="E22" s="24"/>
    </row>
    <row r="23" spans="3:5" ht="15" x14ac:dyDescent="0.3">
      <c r="C23" s="25"/>
      <c r="D23" s="23"/>
      <c r="E23" s="24"/>
    </row>
    <row r="24" spans="3:5" ht="15" x14ac:dyDescent="0.3">
      <c r="C24" s="25"/>
      <c r="D24" s="23"/>
      <c r="E24" s="24"/>
    </row>
    <row r="25" spans="3:5" ht="15" x14ac:dyDescent="0.3">
      <c r="C25" s="25"/>
      <c r="D25" s="23"/>
      <c r="E25" s="24"/>
    </row>
    <row r="26" spans="3:5" ht="15" x14ac:dyDescent="0.3">
      <c r="C26" s="25"/>
      <c r="D26" s="23"/>
      <c r="E26" s="24"/>
    </row>
    <row r="27" spans="3:5" ht="15" x14ac:dyDescent="0.3">
      <c r="C27" s="25"/>
      <c r="D27" s="23"/>
      <c r="E27" s="24"/>
    </row>
    <row r="28" spans="3:5" ht="15" x14ac:dyDescent="0.3">
      <c r="C28" s="25"/>
      <c r="D28" s="23"/>
      <c r="E28" s="24"/>
    </row>
    <row r="29" spans="3:5" ht="15" x14ac:dyDescent="0.3">
      <c r="C29" s="25"/>
      <c r="D29" s="23"/>
      <c r="E29" s="24"/>
    </row>
    <row r="30" spans="3:5" ht="15" x14ac:dyDescent="0.3">
      <c r="C30" s="25"/>
      <c r="D30" s="23"/>
      <c r="E30" s="24"/>
    </row>
    <row r="31" spans="3:5" x14ac:dyDescent="0.3"/>
    <row r="32" spans="3:5" x14ac:dyDescent="0.3"/>
    <row r="33" x14ac:dyDescent="0.3"/>
  </sheetData>
  <sheetProtection sheet="1" objects="1" scenarios="1" selectLockedCells="1" autoFilter="0"/>
  <mergeCells count="3">
    <mergeCell ref="C3:E3"/>
    <mergeCell ref="C4:E4"/>
    <mergeCell ref="D7:E7"/>
  </mergeCells>
  <dataValidations count="1">
    <dataValidation type="list" allowBlank="1" showInputMessage="1" showErrorMessage="1" sqref="D9:D30" xr:uid="{D92DA1F3-28E7-425F-B3B7-73C1617D5161}">
      <formula1>"HOLERITES,CNPJ,FREELANCE"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B8C2-9A94-4801-810D-3CAA8618C961}">
  <dimension ref="A1:E33"/>
  <sheetViews>
    <sheetView showGridLines="0" showRowColHeader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0" defaultRowHeight="14.4" zeroHeight="1" x14ac:dyDescent="0.3"/>
  <cols>
    <col min="1" max="1" width="28.77734375" style="6" customWidth="1"/>
    <col min="2" max="2" width="8.88671875" style="7" customWidth="1"/>
    <col min="3" max="5" width="30.77734375" style="7" customWidth="1"/>
    <col min="6" max="6" width="8.88671875" style="7" customWidth="1"/>
    <col min="7" max="16384" width="8.88671875" style="7" hidden="1"/>
  </cols>
  <sheetData>
    <row r="1" spans="3:5" ht="14.4" customHeight="1" x14ac:dyDescent="0.3"/>
    <row r="2" spans="3:5" ht="14.4" customHeight="1" x14ac:dyDescent="0.3"/>
    <row r="3" spans="3:5" ht="20.399999999999999" customHeight="1" thickBot="1" x14ac:dyDescent="0.35">
      <c r="C3" s="20" t="s">
        <v>89</v>
      </c>
      <c r="D3" s="20"/>
      <c r="E3" s="20"/>
    </row>
    <row r="4" spans="3:5" ht="19.95" customHeight="1" thickTop="1" x14ac:dyDescent="0.3">
      <c r="C4" s="21" t="s">
        <v>90</v>
      </c>
      <c r="D4" s="21"/>
      <c r="E4" s="21"/>
    </row>
    <row r="5" spans="3:5" ht="14.4" customHeight="1" x14ac:dyDescent="0.3"/>
    <row r="6" spans="3:5" ht="14.4" customHeight="1" x14ac:dyDescent="0.3"/>
    <row r="7" spans="3:5" x14ac:dyDescent="0.3">
      <c r="C7" s="8" t="s">
        <v>91</v>
      </c>
      <c r="D7" s="22" t="str">
        <f>"TOTAL R$ "&amp;TEXT(SUM(Tabela14[VALOR]),"###.###.###.##0,00")</f>
        <v>TOTAL R$ 26.000,00</v>
      </c>
      <c r="E7" s="22"/>
    </row>
    <row r="8" spans="3:5" ht="15" x14ac:dyDescent="0.3">
      <c r="C8" s="9" t="s">
        <v>88</v>
      </c>
      <c r="D8" s="9" t="s">
        <v>80</v>
      </c>
      <c r="E8" s="9" t="s">
        <v>87</v>
      </c>
    </row>
    <row r="9" spans="3:5" ht="15" x14ac:dyDescent="0.3">
      <c r="C9" s="3">
        <v>46058</v>
      </c>
      <c r="D9" s="4" t="s">
        <v>92</v>
      </c>
      <c r="E9" s="5">
        <v>3000</v>
      </c>
    </row>
    <row r="10" spans="3:5" ht="15" x14ac:dyDescent="0.3">
      <c r="C10" s="3">
        <v>46113</v>
      </c>
      <c r="D10" s="4" t="s">
        <v>93</v>
      </c>
      <c r="E10" s="5">
        <v>15000</v>
      </c>
    </row>
    <row r="11" spans="3:5" ht="15" x14ac:dyDescent="0.3">
      <c r="C11" s="3">
        <v>46082</v>
      </c>
      <c r="D11" s="4" t="s">
        <v>94</v>
      </c>
      <c r="E11" s="5">
        <v>8000</v>
      </c>
    </row>
    <row r="12" spans="3:5" ht="15" x14ac:dyDescent="0.3">
      <c r="C12" s="3"/>
      <c r="D12" s="4"/>
      <c r="E12" s="5"/>
    </row>
    <row r="13" spans="3:5" ht="15" x14ac:dyDescent="0.3">
      <c r="C13" s="25"/>
      <c r="D13" s="23"/>
      <c r="E13" s="24"/>
    </row>
    <row r="14" spans="3:5" ht="15" x14ac:dyDescent="0.3">
      <c r="C14" s="25"/>
      <c r="D14" s="23"/>
      <c r="E14" s="24"/>
    </row>
    <row r="15" spans="3:5" ht="15" x14ac:dyDescent="0.3">
      <c r="C15" s="25"/>
      <c r="D15" s="23"/>
      <c r="E15" s="24"/>
    </row>
    <row r="16" spans="3:5" ht="15" x14ac:dyDescent="0.3">
      <c r="C16" s="25"/>
      <c r="D16" s="23"/>
      <c r="E16" s="24"/>
    </row>
    <row r="17" spans="3:5" ht="15" x14ac:dyDescent="0.3">
      <c r="C17" s="25"/>
      <c r="D17" s="23"/>
      <c r="E17" s="24"/>
    </row>
    <row r="18" spans="3:5" ht="15" x14ac:dyDescent="0.3">
      <c r="C18" s="25"/>
      <c r="D18" s="23"/>
      <c r="E18" s="24"/>
    </row>
    <row r="19" spans="3:5" ht="15" x14ac:dyDescent="0.3">
      <c r="C19" s="25"/>
      <c r="D19" s="23"/>
      <c r="E19" s="24"/>
    </row>
    <row r="20" spans="3:5" ht="15" x14ac:dyDescent="0.3">
      <c r="C20" s="25"/>
      <c r="D20" s="23"/>
      <c r="E20" s="24"/>
    </row>
    <row r="21" spans="3:5" ht="15" x14ac:dyDescent="0.3">
      <c r="C21" s="25"/>
      <c r="D21" s="23"/>
      <c r="E21" s="24"/>
    </row>
    <row r="22" spans="3:5" ht="15" x14ac:dyDescent="0.3">
      <c r="C22" s="25"/>
      <c r="D22" s="23"/>
      <c r="E22" s="24"/>
    </row>
    <row r="23" spans="3:5" ht="15" x14ac:dyDescent="0.3">
      <c r="C23" s="25"/>
      <c r="D23" s="23"/>
      <c r="E23" s="24"/>
    </row>
    <row r="24" spans="3:5" ht="15" x14ac:dyDescent="0.3">
      <c r="C24" s="25"/>
      <c r="D24" s="23"/>
      <c r="E24" s="24"/>
    </row>
    <row r="25" spans="3:5" ht="15" x14ac:dyDescent="0.3">
      <c r="C25" s="25"/>
      <c r="D25" s="23"/>
      <c r="E25" s="24"/>
    </row>
    <row r="26" spans="3:5" ht="15" x14ac:dyDescent="0.3">
      <c r="C26" s="25"/>
      <c r="D26" s="23"/>
      <c r="E26" s="24"/>
    </row>
    <row r="27" spans="3:5" ht="15" x14ac:dyDescent="0.3">
      <c r="C27" s="25"/>
      <c r="D27" s="23"/>
      <c r="E27" s="24"/>
    </row>
    <row r="28" spans="3:5" ht="15" x14ac:dyDescent="0.3">
      <c r="C28" s="25"/>
      <c r="D28" s="23"/>
      <c r="E28" s="24"/>
    </row>
    <row r="29" spans="3:5" ht="15" x14ac:dyDescent="0.3">
      <c r="C29" s="25"/>
      <c r="D29" s="23"/>
      <c r="E29" s="24"/>
    </row>
    <row r="30" spans="3:5" ht="15" x14ac:dyDescent="0.3">
      <c r="C30" s="25"/>
      <c r="D30" s="23"/>
      <c r="E30" s="24"/>
    </row>
    <row r="31" spans="3:5" x14ac:dyDescent="0.3"/>
    <row r="32" spans="3:5" x14ac:dyDescent="0.3"/>
    <row r="33" x14ac:dyDescent="0.3"/>
  </sheetData>
  <sheetProtection sheet="1" objects="1" scenarios="1" selectLockedCells="1" autoFilter="0"/>
  <mergeCells count="3">
    <mergeCell ref="C3:E3"/>
    <mergeCell ref="C4:E4"/>
    <mergeCell ref="D7:E7"/>
  </mergeCells>
  <dataValidations disablePrompts="1" count="1">
    <dataValidation type="list" allowBlank="1" showInputMessage="1" showErrorMessage="1" sqref="D9:D30" xr:uid="{6FBDC51C-FDA0-4C70-BC0C-4A99DB1294A3}">
      <formula1>"EDUCAÇÃO,DESPESAS MÉDICAS,ALUGUEL"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9107-9E84-4D3D-9273-F3D27CB6AD9F}">
  <dimension ref="A1:A51"/>
  <sheetViews>
    <sheetView topLeftCell="A30" workbookViewId="0">
      <selection activeCell="A3" sqref="A3"/>
    </sheetView>
  </sheetViews>
  <sheetFormatPr defaultRowHeight="14.4" x14ac:dyDescent="0.3"/>
  <cols>
    <col min="1" max="1" width="37.44140625" style="1" bestFit="1" customWidth="1"/>
    <col min="2" max="16384" width="8.88671875" style="1"/>
  </cols>
  <sheetData>
    <row r="1" spans="1:1" x14ac:dyDescent="0.3">
      <c r="A1" s="2" t="s">
        <v>75</v>
      </c>
    </row>
    <row r="2" spans="1:1" x14ac:dyDescent="0.3">
      <c r="A2" s="1" t="s">
        <v>25</v>
      </c>
    </row>
    <row r="3" spans="1:1" x14ac:dyDescent="0.3">
      <c r="A3" s="1" t="s">
        <v>26</v>
      </c>
    </row>
    <row r="4" spans="1:1" x14ac:dyDescent="0.3">
      <c r="A4" s="1" t="s">
        <v>27</v>
      </c>
    </row>
    <row r="5" spans="1:1" x14ac:dyDescent="0.3">
      <c r="A5" s="1" t="s">
        <v>28</v>
      </c>
    </row>
    <row r="6" spans="1:1" x14ac:dyDescent="0.3">
      <c r="A6" s="1" t="s">
        <v>29</v>
      </c>
    </row>
    <row r="7" spans="1:1" x14ac:dyDescent="0.3">
      <c r="A7" s="1" t="s">
        <v>30</v>
      </c>
    </row>
    <row r="8" spans="1:1" x14ac:dyDescent="0.3">
      <c r="A8" s="1" t="s">
        <v>31</v>
      </c>
    </row>
    <row r="9" spans="1:1" x14ac:dyDescent="0.3">
      <c r="A9" s="1" t="s">
        <v>32</v>
      </c>
    </row>
    <row r="10" spans="1:1" x14ac:dyDescent="0.3">
      <c r="A10" s="1" t="s">
        <v>33</v>
      </c>
    </row>
    <row r="11" spans="1:1" x14ac:dyDescent="0.3">
      <c r="A11" s="1" t="s">
        <v>34</v>
      </c>
    </row>
    <row r="12" spans="1:1" x14ac:dyDescent="0.3">
      <c r="A12" s="1" t="s">
        <v>35</v>
      </c>
    </row>
    <row r="13" spans="1:1" x14ac:dyDescent="0.3">
      <c r="A13" s="1" t="s">
        <v>36</v>
      </c>
    </row>
    <row r="14" spans="1:1" x14ac:dyDescent="0.3">
      <c r="A14" s="1" t="s">
        <v>37</v>
      </c>
    </row>
    <row r="15" spans="1:1" x14ac:dyDescent="0.3">
      <c r="A15" s="1" t="s">
        <v>38</v>
      </c>
    </row>
    <row r="16" spans="1:1" x14ac:dyDescent="0.3">
      <c r="A16" s="1" t="s">
        <v>39</v>
      </c>
    </row>
    <row r="17" spans="1:1" x14ac:dyDescent="0.3">
      <c r="A17" s="1" t="s">
        <v>40</v>
      </c>
    </row>
    <row r="18" spans="1:1" x14ac:dyDescent="0.3">
      <c r="A18" s="1" t="s">
        <v>41</v>
      </c>
    </row>
    <row r="19" spans="1:1" x14ac:dyDescent="0.3">
      <c r="A19" s="1" t="s">
        <v>42</v>
      </c>
    </row>
    <row r="20" spans="1:1" x14ac:dyDescent="0.3">
      <c r="A20" s="1" t="s">
        <v>43</v>
      </c>
    </row>
    <row r="21" spans="1:1" x14ac:dyDescent="0.3">
      <c r="A21" s="1" t="s">
        <v>44</v>
      </c>
    </row>
    <row r="22" spans="1:1" x14ac:dyDescent="0.3">
      <c r="A22" s="1" t="s">
        <v>45</v>
      </c>
    </row>
    <row r="23" spans="1:1" x14ac:dyDescent="0.3">
      <c r="A23" s="1" t="s">
        <v>46</v>
      </c>
    </row>
    <row r="24" spans="1:1" x14ac:dyDescent="0.3">
      <c r="A24" s="1" t="s">
        <v>47</v>
      </c>
    </row>
    <row r="25" spans="1:1" x14ac:dyDescent="0.3">
      <c r="A25" s="1" t="s">
        <v>48</v>
      </c>
    </row>
    <row r="26" spans="1:1" x14ac:dyDescent="0.3">
      <c r="A26" s="1" t="s">
        <v>49</v>
      </c>
    </row>
    <row r="27" spans="1:1" x14ac:dyDescent="0.3">
      <c r="A27" s="1" t="s">
        <v>50</v>
      </c>
    </row>
    <row r="28" spans="1:1" x14ac:dyDescent="0.3">
      <c r="A28" s="1" t="s">
        <v>51</v>
      </c>
    </row>
    <row r="29" spans="1:1" x14ac:dyDescent="0.3">
      <c r="A29" s="1" t="s">
        <v>52</v>
      </c>
    </row>
    <row r="30" spans="1:1" x14ac:dyDescent="0.3">
      <c r="A30" s="1" t="s">
        <v>53</v>
      </c>
    </row>
    <row r="31" spans="1:1" x14ac:dyDescent="0.3">
      <c r="A31" s="1" t="s">
        <v>54</v>
      </c>
    </row>
    <row r="32" spans="1:1" x14ac:dyDescent="0.3">
      <c r="A32" s="1" t="s">
        <v>55</v>
      </c>
    </row>
    <row r="33" spans="1:1" x14ac:dyDescent="0.3">
      <c r="A33" s="1" t="s">
        <v>56</v>
      </c>
    </row>
    <row r="34" spans="1:1" x14ac:dyDescent="0.3">
      <c r="A34" s="1" t="s">
        <v>57</v>
      </c>
    </row>
    <row r="35" spans="1:1" x14ac:dyDescent="0.3">
      <c r="A35" s="1" t="s">
        <v>58</v>
      </c>
    </row>
    <row r="36" spans="1:1" x14ac:dyDescent="0.3">
      <c r="A36" s="1" t="s">
        <v>59</v>
      </c>
    </row>
    <row r="37" spans="1:1" x14ac:dyDescent="0.3">
      <c r="A37" s="1" t="s">
        <v>60</v>
      </c>
    </row>
    <row r="38" spans="1:1" x14ac:dyDescent="0.3">
      <c r="A38" s="1" t="s">
        <v>61</v>
      </c>
    </row>
    <row r="39" spans="1:1" x14ac:dyDescent="0.3">
      <c r="A39" s="1" t="s">
        <v>62</v>
      </c>
    </row>
    <row r="40" spans="1:1" x14ac:dyDescent="0.3">
      <c r="A40" s="1" t="s">
        <v>63</v>
      </c>
    </row>
    <row r="41" spans="1:1" x14ac:dyDescent="0.3">
      <c r="A41" s="1" t="s">
        <v>64</v>
      </c>
    </row>
    <row r="42" spans="1:1" x14ac:dyDescent="0.3">
      <c r="A42" s="1" t="s">
        <v>65</v>
      </c>
    </row>
    <row r="43" spans="1:1" x14ac:dyDescent="0.3">
      <c r="A43" s="1" t="s">
        <v>66</v>
      </c>
    </row>
    <row r="44" spans="1:1" x14ac:dyDescent="0.3">
      <c r="A44" s="1" t="s">
        <v>67</v>
      </c>
    </row>
    <row r="45" spans="1:1" x14ac:dyDescent="0.3">
      <c r="A45" s="1" t="s">
        <v>68</v>
      </c>
    </row>
    <row r="46" spans="1:1" x14ac:dyDescent="0.3">
      <c r="A46" s="1" t="s">
        <v>69</v>
      </c>
    </row>
    <row r="47" spans="1:1" x14ac:dyDescent="0.3">
      <c r="A47" s="1" t="s">
        <v>70</v>
      </c>
    </row>
    <row r="48" spans="1:1" x14ac:dyDescent="0.3">
      <c r="A48" s="1" t="s">
        <v>71</v>
      </c>
    </row>
    <row r="49" spans="1:1" x14ac:dyDescent="0.3">
      <c r="A49" s="1" t="s">
        <v>72</v>
      </c>
    </row>
    <row r="50" spans="1:1" x14ac:dyDescent="0.3">
      <c r="A50" s="1" t="s">
        <v>73</v>
      </c>
    </row>
    <row r="51" spans="1:1" x14ac:dyDescent="0.3">
      <c r="A51" s="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DESPESAS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Barbosa Castro</dc:creator>
  <cp:lastModifiedBy>Fernando Jose Barbosa Castro</cp:lastModifiedBy>
  <dcterms:created xsi:type="dcterms:W3CDTF">2015-06-05T18:19:34Z</dcterms:created>
  <dcterms:modified xsi:type="dcterms:W3CDTF">2026-02-06T22:48:15Z</dcterms:modified>
</cp:coreProperties>
</file>